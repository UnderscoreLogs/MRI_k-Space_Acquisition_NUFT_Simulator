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egl\OneDrive\Desktop\Code\C++\MRIImageRescale\Report Data\"/>
    </mc:Choice>
  </mc:AlternateContent>
  <xr:revisionPtr revIDLastSave="0" documentId="8_{2487FA2E-5B60-400E-96FC-96CCED1AE5A8}" xr6:coauthVersionLast="47" xr6:coauthVersionMax="47" xr10:uidLastSave="{00000000-0000-0000-0000-000000000000}"/>
  <bookViews>
    <workbookView xWindow="-120" yWindow="-120" windowWidth="29040" windowHeight="15840" xr2:uid="{CCF49BE8-FD78-4F8C-BADE-361743256D25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5" i="1" l="1"/>
  <c r="O79" i="1"/>
  <c r="O73" i="1"/>
  <c r="O67" i="1"/>
  <c r="O61" i="1"/>
  <c r="O55" i="1"/>
  <c r="O49" i="1"/>
  <c r="O84" i="1"/>
  <c r="O78" i="1"/>
  <c r="O72" i="1"/>
  <c r="O66" i="1"/>
  <c r="O60" i="1"/>
  <c r="O54" i="1"/>
  <c r="O48" i="1"/>
  <c r="O83" i="1"/>
  <c r="O77" i="1"/>
  <c r="O71" i="1"/>
  <c r="O65" i="1"/>
  <c r="O59" i="1"/>
  <c r="O53" i="1"/>
  <c r="O47" i="1"/>
  <c r="O82" i="1"/>
  <c r="O76" i="1"/>
  <c r="O70" i="1"/>
  <c r="O64" i="1"/>
  <c r="O58" i="1"/>
  <c r="O52" i="1"/>
  <c r="O46" i="1"/>
  <c r="O81" i="1"/>
  <c r="O75" i="1"/>
  <c r="O69" i="1"/>
  <c r="O63" i="1"/>
  <c r="O57" i="1"/>
  <c r="O51" i="1"/>
  <c r="O45" i="1"/>
  <c r="O80" i="1"/>
  <c r="O74" i="1"/>
  <c r="O68" i="1"/>
  <c r="O62" i="1"/>
  <c r="O56" i="1"/>
  <c r="O50" i="1"/>
  <c r="O4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</calcChain>
</file>

<file path=xl/sharedStrings.xml><?xml version="1.0" encoding="utf-8"?>
<sst xmlns="http://schemas.openxmlformats.org/spreadsheetml/2006/main" count="39" uniqueCount="12">
  <si>
    <t># Spokes</t>
  </si>
  <si>
    <t># per Spoke</t>
  </si>
  <si>
    <t>PSNR</t>
  </si>
  <si>
    <t>SSIM</t>
  </si>
  <si>
    <t>Time</t>
  </si>
  <si>
    <t># Samples</t>
  </si>
  <si>
    <t>#PerSpoke</t>
  </si>
  <si>
    <t>PSNR (dB) Heatmap</t>
  </si>
  <si>
    <t>#Spokes</t>
  </si>
  <si>
    <t>No Data</t>
  </si>
  <si>
    <t>SSIM Heatmap</t>
  </si>
  <si>
    <t>Time (ms)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</si>
</sst>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7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Vs. 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data!$O$44:$O$49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data!$L$44:$L$49</c:f>
              <c:numCache>
                <c:formatCode>General</c:formatCode>
                <c:ptCount val="6"/>
                <c:pt idx="0">
                  <c:v>13.331300000000001</c:v>
                </c:pt>
                <c:pt idx="1">
                  <c:v>13.5732</c:v>
                </c:pt>
                <c:pt idx="2">
                  <c:v>12.4023</c:v>
                </c:pt>
                <c:pt idx="3">
                  <c:v>10.37</c:v>
                </c:pt>
                <c:pt idx="4">
                  <c:v>10.3912</c:v>
                </c:pt>
                <c:pt idx="5">
                  <c:v>9.6947500000000009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2-4156-91ED-D04041E30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35200"/>
        <c:axId val="369459904"/>
      </c:scatterChart>
      <c:valAx>
        <c:axId val="371935200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59904"/>
        <c:crosses val="autoZero"/>
        <c:crossBetween val="midCat"/>
      </c:valAx>
      <c:valAx>
        <c:axId val="3694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PSNR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Samples Vs. 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16 Spokes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data!$O$44:$O$49</c:f>
              <c:numCache>
                <c:formatCode>General</c:formatCode>
                <c:ptCount val="6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</c:numCache>
            </c:numRef>
          </c:xVal>
          <c:yVal>
            <c:numRef>
              <c:f>data!$M$44:$M$49</c:f>
              <c:numCache>
                <c:formatCode>General</c:formatCode>
                <c:ptCount val="6"/>
                <c:pt idx="0">
                  <c:v>6.2406499999999997E-2</c:v>
                </c:pt>
                <c:pt idx="1">
                  <c:v>0.122947</c:v>
                </c:pt>
                <c:pt idx="2">
                  <c:v>0.21256900000000001</c:v>
                </c:pt>
                <c:pt idx="3">
                  <c:v>0.265177</c:v>
                </c:pt>
                <c:pt idx="4">
                  <c:v>0.27349899999999999</c:v>
                </c:pt>
                <c:pt idx="5">
                  <c:v>0.244142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1-4D63-B3C5-5A90552C1076}"/>
            </c:ext>
          </c:extLst>
        </c:ser>
        <c:ser>
          <c:idx val="1"/>
          <c:order val="1"/>
          <c:tx>
            <c:v>32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data!$O$50:$O$55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data!$M$50:$M$55</c:f>
              <c:numCache>
                <c:formatCode>General</c:formatCode>
                <c:ptCount val="6"/>
                <c:pt idx="0">
                  <c:v>0.108056</c:v>
                </c:pt>
                <c:pt idx="1">
                  <c:v>0.19565299999999999</c:v>
                </c:pt>
                <c:pt idx="2">
                  <c:v>0.33227699999999999</c:v>
                </c:pt>
                <c:pt idx="3">
                  <c:v>0.51005800000000001</c:v>
                </c:pt>
                <c:pt idx="4">
                  <c:v>0.52615500000000004</c:v>
                </c:pt>
                <c:pt idx="5">
                  <c:v>0.50499899999999998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A1-4D63-B3C5-5A90552C1076}"/>
            </c:ext>
          </c:extLst>
        </c:ser>
        <c:ser>
          <c:idx val="2"/>
          <c:order val="2"/>
          <c:tx>
            <c:v>64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data!$O$56:$O$61</c:f>
              <c:numCache>
                <c:formatCode>General</c:formatCode>
                <c:ptCount val="6"/>
                <c:pt idx="0">
                  <c:v>2048</c:v>
                </c:pt>
                <c:pt idx="1">
                  <c:v>4096</c:v>
                </c:pt>
                <c:pt idx="2">
                  <c:v>8192</c:v>
                </c:pt>
                <c:pt idx="3">
                  <c:v>16384</c:v>
                </c:pt>
                <c:pt idx="4">
                  <c:v>32768</c:v>
                </c:pt>
                <c:pt idx="5">
                  <c:v>65536</c:v>
                </c:pt>
              </c:numCache>
            </c:numRef>
          </c:xVal>
          <c:yVal>
            <c:numRef>
              <c:f>data!$M$56:$M$61</c:f>
              <c:numCache>
                <c:formatCode>General</c:formatCode>
                <c:ptCount val="6"/>
                <c:pt idx="0">
                  <c:v>0.12955800000000001</c:v>
                </c:pt>
                <c:pt idx="1">
                  <c:v>0.25892100000000001</c:v>
                </c:pt>
                <c:pt idx="2">
                  <c:v>0.42757000000000001</c:v>
                </c:pt>
                <c:pt idx="3">
                  <c:v>0.66567600000000005</c:v>
                </c:pt>
                <c:pt idx="4">
                  <c:v>0.73807500000000004</c:v>
                </c:pt>
                <c:pt idx="5">
                  <c:v>0.74330600000000002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A1-4D63-B3C5-5A90552C1076}"/>
            </c:ext>
          </c:extLst>
        </c:ser>
        <c:ser>
          <c:idx val="3"/>
          <c:order val="3"/>
          <c:tx>
            <c:v>128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data!$O$62:$O$67</c:f>
              <c:numCache>
                <c:formatCode>General</c:formatCode>
                <c:ptCount val="6"/>
                <c:pt idx="0">
                  <c:v>4096</c:v>
                </c:pt>
                <c:pt idx="1">
                  <c:v>8192</c:v>
                </c:pt>
                <c:pt idx="2">
                  <c:v>16384</c:v>
                </c:pt>
                <c:pt idx="3">
                  <c:v>32768</c:v>
                </c:pt>
                <c:pt idx="4">
                  <c:v>65536</c:v>
                </c:pt>
                <c:pt idx="5">
                  <c:v>131072</c:v>
                </c:pt>
              </c:numCache>
            </c:numRef>
          </c:xVal>
          <c:yVal>
            <c:numRef>
              <c:f>data!$M$62:$M$67</c:f>
              <c:numCache>
                <c:formatCode>General</c:formatCode>
                <c:ptCount val="6"/>
                <c:pt idx="0">
                  <c:v>0.149037</c:v>
                </c:pt>
                <c:pt idx="1">
                  <c:v>0.297707</c:v>
                </c:pt>
                <c:pt idx="2">
                  <c:v>0.49808200000000002</c:v>
                </c:pt>
                <c:pt idx="3">
                  <c:v>0.74936499999999995</c:v>
                </c:pt>
                <c:pt idx="4">
                  <c:v>0.84114100000000003</c:v>
                </c:pt>
                <c:pt idx="5">
                  <c:v>0.856267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A1-4D63-B3C5-5A90552C1076}"/>
            </c:ext>
          </c:extLst>
        </c:ser>
        <c:ser>
          <c:idx val="4"/>
          <c:order val="4"/>
          <c:tx>
            <c:v>256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data!$O$68:$O$73</c:f>
              <c:numCache>
                <c:formatCode>General</c:formatCode>
                <c:ptCount val="6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</c:numCache>
            </c:numRef>
          </c:xVal>
          <c:yVal>
            <c:numRef>
              <c:f>data!$M$68:$M$73</c:f>
              <c:numCache>
                <c:formatCode>General</c:formatCode>
                <c:ptCount val="6"/>
                <c:pt idx="0">
                  <c:v>0.161575</c:v>
                </c:pt>
                <c:pt idx="1">
                  <c:v>0.32202199999999997</c:v>
                </c:pt>
                <c:pt idx="2">
                  <c:v>0.52777600000000002</c:v>
                </c:pt>
                <c:pt idx="3">
                  <c:v>0.80121100000000001</c:v>
                </c:pt>
                <c:pt idx="4">
                  <c:v>0.933369</c:v>
                </c:pt>
                <c:pt idx="5">
                  <c:v>0.93860699999999997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A1-4D63-B3C5-5A90552C1076}"/>
            </c:ext>
          </c:extLst>
        </c:ser>
        <c:ser>
          <c:idx val="5"/>
          <c:order val="5"/>
          <c:tx>
            <c:v>512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data!$O$74:$O$79</c:f>
              <c:numCache>
                <c:formatCode>General</c:formatCode>
                <c:ptCount val="6"/>
                <c:pt idx="0">
                  <c:v>16384</c:v>
                </c:pt>
                <c:pt idx="1">
                  <c:v>32768</c:v>
                </c:pt>
                <c:pt idx="2">
                  <c:v>65536</c:v>
                </c:pt>
                <c:pt idx="3">
                  <c:v>131072</c:v>
                </c:pt>
                <c:pt idx="4">
                  <c:v>262144</c:v>
                </c:pt>
                <c:pt idx="5">
                  <c:v>524288</c:v>
                </c:pt>
              </c:numCache>
            </c:numRef>
          </c:xVal>
          <c:yVal>
            <c:numRef>
              <c:f>data!$M$74:$M$79</c:f>
              <c:numCache>
                <c:formatCode>General</c:formatCode>
                <c:ptCount val="6"/>
                <c:pt idx="0">
                  <c:v>0.16766500000000001</c:v>
                </c:pt>
                <c:pt idx="1">
                  <c:v>0.340638</c:v>
                </c:pt>
                <c:pt idx="2">
                  <c:v>0.52098900000000004</c:v>
                </c:pt>
                <c:pt idx="3">
                  <c:v>0.802898</c:v>
                </c:pt>
                <c:pt idx="4">
                  <c:v>0.98529100000000003</c:v>
                </c:pt>
                <c:pt idx="5">
                  <c:v>0.98555899999999996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A1-4D63-B3C5-5A90552C1076}"/>
            </c:ext>
          </c:extLst>
        </c:ser>
        <c:ser>
          <c:idx val="6"/>
          <c:order val="6"/>
          <c:tx>
            <c:v>1024 Spokes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data!$O$80:$O$83</c:f>
              <c:numCache>
                <c:formatCode>General</c:formatCode>
                <c:ptCount val="4"/>
                <c:pt idx="0">
                  <c:v>32768</c:v>
                </c:pt>
                <c:pt idx="1">
                  <c:v>65536</c:v>
                </c:pt>
                <c:pt idx="2">
                  <c:v>131072</c:v>
                </c:pt>
                <c:pt idx="3">
                  <c:v>262144</c:v>
                </c:pt>
              </c:numCache>
            </c:numRef>
          </c:xVal>
          <c:yVal>
            <c:numRef>
              <c:f>data!$M$80:$M$83</c:f>
              <c:numCache>
                <c:formatCode>General</c:formatCode>
                <c:ptCount val="4"/>
                <c:pt idx="0">
                  <c:v>0.16892599999999999</c:v>
                </c:pt>
                <c:pt idx="1">
                  <c:v>0.34606700000000001</c:v>
                </c:pt>
                <c:pt idx="2">
                  <c:v>0.53923200000000004</c:v>
                </c:pt>
                <c:pt idx="3">
                  <c:v>0.790883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A1-4D63-B3C5-5A90552C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935200"/>
        <c:axId val="369459904"/>
      </c:scatterChart>
      <c:valAx>
        <c:axId val="371935200"/>
        <c:scaling>
          <c:logBase val="2"/>
          <c:orientation val="minMax"/>
          <c:min val="5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# 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59904"/>
        <c:crosses val="autoZero"/>
        <c:crossBetween val="midCat"/>
      </c:valAx>
      <c:valAx>
        <c:axId val="3694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SSIM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3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85725</xdr:colOff>
      <xdr:row>30</xdr:row>
      <xdr:rowOff>109537</xdr:rowOff>
    </xdr:from>
    <xdr:to>
      <xdr:col>23</xdr:col>
      <xdr:colOff>390525</xdr:colOff>
      <xdr:row>44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0A2A7-C879-A781-07DF-993C6DA98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46</xdr:row>
      <xdr:rowOff>133350</xdr:rowOff>
    </xdr:from>
    <xdr:to>
      <xdr:col>23</xdr:col>
      <xdr:colOff>304800</xdr:colOff>
      <xdr:row>61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EA7277-AF1B-40D1-85B3-F4C9E8646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F167-4511-4BB9-BA08-17E0DB2B4335}">
  <dimension ref="A1:R85"/>
  <sheetViews>
    <sheetView tabSelected="1" workbookViewId="0">
      <selection activeCell="S11" sqref="S11"/>
    </sheetView>
  </sheetViews>
  <sheetFormatPr defaultRowHeight="15" x14ac:dyDescent="0.25"/>
  <cols>
    <col min="2" max="2" width="11.5703125" customWidth="1"/>
    <col min="6" max="6" width="9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8" x14ac:dyDescent="0.25">
      <c r="A2">
        <v>16</v>
      </c>
      <c r="B2">
        <v>32</v>
      </c>
      <c r="C2">
        <v>13.331300000000001</v>
      </c>
      <c r="D2">
        <v>6.2406499999999997E-2</v>
      </c>
      <c r="E2">
        <v>53576</v>
      </c>
      <c r="F2">
        <f>A2*B2</f>
        <v>512</v>
      </c>
    </row>
    <row r="3" spans="1:18" x14ac:dyDescent="0.25">
      <c r="A3">
        <v>32</v>
      </c>
      <c r="B3">
        <v>32</v>
      </c>
      <c r="C3">
        <v>13.533300000000001</v>
      </c>
      <c r="D3">
        <v>0.108056</v>
      </c>
      <c r="E3">
        <v>61314</v>
      </c>
      <c r="F3">
        <f t="shared" ref="F3:F43" si="0">A3*B3</f>
        <v>1024</v>
      </c>
    </row>
    <row r="4" spans="1:18" x14ac:dyDescent="0.25">
      <c r="A4">
        <v>64</v>
      </c>
      <c r="B4">
        <v>32</v>
      </c>
      <c r="C4">
        <v>13.7081</v>
      </c>
      <c r="D4">
        <v>0.12955800000000001</v>
      </c>
      <c r="E4">
        <v>63128</v>
      </c>
      <c r="F4">
        <f t="shared" si="0"/>
        <v>2048</v>
      </c>
      <c r="J4" s="1" t="s">
        <v>6</v>
      </c>
      <c r="K4" s="2"/>
      <c r="L4" s="1"/>
      <c r="M4" s="4" t="s">
        <v>7</v>
      </c>
      <c r="N4" s="5"/>
      <c r="O4" s="5"/>
      <c r="P4" s="5"/>
      <c r="Q4" s="1"/>
      <c r="R4" s="1"/>
    </row>
    <row r="5" spans="1:18" x14ac:dyDescent="0.25">
      <c r="A5">
        <v>128</v>
      </c>
      <c r="B5">
        <v>32</v>
      </c>
      <c r="C5">
        <v>13.785399999999999</v>
      </c>
      <c r="D5">
        <v>0.149037</v>
      </c>
      <c r="E5">
        <v>72229</v>
      </c>
      <c r="F5">
        <f t="shared" si="0"/>
        <v>4096</v>
      </c>
      <c r="J5" s="2">
        <v>1024</v>
      </c>
      <c r="K5">
        <v>9.6947500000000009</v>
      </c>
      <c r="L5">
        <v>12.2234</v>
      </c>
      <c r="M5">
        <v>17.051400000000001</v>
      </c>
      <c r="N5">
        <v>20.290199999999999</v>
      </c>
      <c r="O5">
        <v>23.307099999999998</v>
      </c>
      <c r="P5">
        <v>29.302299999999999</v>
      </c>
      <c r="Q5" s="6" t="s">
        <v>9</v>
      </c>
      <c r="R5" s="3"/>
    </row>
    <row r="6" spans="1:18" x14ac:dyDescent="0.25">
      <c r="A6">
        <v>256</v>
      </c>
      <c r="B6">
        <v>32</v>
      </c>
      <c r="C6">
        <v>13.915100000000001</v>
      </c>
      <c r="D6">
        <v>0.161575</v>
      </c>
      <c r="E6">
        <v>97485</v>
      </c>
      <c r="F6">
        <f t="shared" si="0"/>
        <v>8192</v>
      </c>
      <c r="J6" s="1">
        <v>512</v>
      </c>
      <c r="K6">
        <v>10.3912</v>
      </c>
      <c r="L6">
        <v>13.368399999999999</v>
      </c>
      <c r="M6">
        <v>18.1889</v>
      </c>
      <c r="N6">
        <v>20.692499999999999</v>
      </c>
      <c r="O6">
        <v>22.409600000000001</v>
      </c>
      <c r="P6">
        <v>28.900400000000001</v>
      </c>
      <c r="Q6" s="6" t="s">
        <v>9</v>
      </c>
      <c r="R6" s="3"/>
    </row>
    <row r="7" spans="1:18" x14ac:dyDescent="0.25">
      <c r="A7">
        <v>512</v>
      </c>
      <c r="B7">
        <v>32</v>
      </c>
      <c r="C7">
        <v>13.9077</v>
      </c>
      <c r="D7">
        <v>0.16766500000000001</v>
      </c>
      <c r="E7">
        <v>146156</v>
      </c>
      <c r="F7">
        <f t="shared" si="0"/>
        <v>16384</v>
      </c>
      <c r="J7" s="1">
        <v>256</v>
      </c>
      <c r="K7">
        <v>10.37</v>
      </c>
      <c r="L7">
        <v>13.555300000000001</v>
      </c>
      <c r="M7">
        <v>16.545400000000001</v>
      </c>
      <c r="N7">
        <v>18.4407</v>
      </c>
      <c r="O7">
        <v>19.5076</v>
      </c>
      <c r="P7">
        <v>19.750299999999999</v>
      </c>
      <c r="Q7">
        <v>19.485099999999999</v>
      </c>
      <c r="R7" s="3"/>
    </row>
    <row r="8" spans="1:18" x14ac:dyDescent="0.25">
      <c r="A8">
        <v>1024</v>
      </c>
      <c r="B8">
        <v>32</v>
      </c>
      <c r="C8">
        <v>13.8706</v>
      </c>
      <c r="D8">
        <v>0.16892599999999999</v>
      </c>
      <c r="E8">
        <v>249300</v>
      </c>
      <c r="F8">
        <f t="shared" si="0"/>
        <v>32768</v>
      </c>
      <c r="J8" s="1">
        <v>128</v>
      </c>
      <c r="K8">
        <v>12.4023</v>
      </c>
      <c r="L8">
        <v>14.3643</v>
      </c>
      <c r="M8">
        <v>15.5375</v>
      </c>
      <c r="N8">
        <v>16.053100000000001</v>
      </c>
      <c r="O8">
        <v>16.1174</v>
      </c>
      <c r="P8">
        <v>16.442</v>
      </c>
      <c r="Q8">
        <v>16.445799999999998</v>
      </c>
      <c r="R8" s="3"/>
    </row>
    <row r="9" spans="1:18" x14ac:dyDescent="0.25">
      <c r="A9">
        <v>16</v>
      </c>
      <c r="B9">
        <v>64</v>
      </c>
      <c r="C9">
        <v>13.5732</v>
      </c>
      <c r="D9">
        <v>0.122947</v>
      </c>
      <c r="E9">
        <v>56017</v>
      </c>
      <c r="F9">
        <f t="shared" si="0"/>
        <v>1024</v>
      </c>
      <c r="J9" s="1">
        <v>64</v>
      </c>
      <c r="K9">
        <v>13.5732</v>
      </c>
      <c r="L9">
        <v>14.209</v>
      </c>
      <c r="M9">
        <v>14.396699999999999</v>
      </c>
      <c r="N9">
        <v>14.625500000000001</v>
      </c>
      <c r="O9">
        <v>14.5946</v>
      </c>
      <c r="P9">
        <v>14.6007</v>
      </c>
      <c r="Q9">
        <v>14.5572</v>
      </c>
      <c r="R9" s="3"/>
    </row>
    <row r="10" spans="1:18" x14ac:dyDescent="0.25">
      <c r="A10">
        <v>32</v>
      </c>
      <c r="B10">
        <v>64</v>
      </c>
      <c r="C10">
        <v>14.209</v>
      </c>
      <c r="D10">
        <v>0.19565299999999999</v>
      </c>
      <c r="E10">
        <v>61403</v>
      </c>
      <c r="F10">
        <f t="shared" si="0"/>
        <v>2048</v>
      </c>
      <c r="J10" s="1">
        <v>32</v>
      </c>
      <c r="K10">
        <v>13.331300000000001</v>
      </c>
      <c r="L10">
        <v>13.533300000000001</v>
      </c>
      <c r="M10">
        <v>13.7081</v>
      </c>
      <c r="N10">
        <v>13.785399999999999</v>
      </c>
      <c r="O10">
        <v>13.915100000000001</v>
      </c>
      <c r="P10">
        <v>13.9077</v>
      </c>
      <c r="Q10">
        <v>13.8706</v>
      </c>
      <c r="R10" s="2"/>
    </row>
    <row r="11" spans="1:18" x14ac:dyDescent="0.25">
      <c r="A11">
        <v>64</v>
      </c>
      <c r="B11">
        <v>64</v>
      </c>
      <c r="C11">
        <v>14.396699999999999</v>
      </c>
      <c r="D11">
        <v>0.25892100000000001</v>
      </c>
      <c r="E11">
        <v>73198</v>
      </c>
      <c r="F11">
        <f t="shared" si="0"/>
        <v>4096</v>
      </c>
      <c r="J11" s="1"/>
      <c r="K11" s="1">
        <v>16</v>
      </c>
      <c r="L11" s="1">
        <v>32</v>
      </c>
      <c r="M11" s="1">
        <v>64</v>
      </c>
      <c r="N11" s="1">
        <v>128</v>
      </c>
      <c r="O11" s="1">
        <v>256</v>
      </c>
      <c r="P11" s="1">
        <v>512</v>
      </c>
      <c r="Q11" s="1">
        <v>1024</v>
      </c>
      <c r="R11" s="1" t="s">
        <v>8</v>
      </c>
    </row>
    <row r="12" spans="1:18" x14ac:dyDescent="0.25">
      <c r="A12">
        <v>128</v>
      </c>
      <c r="B12">
        <v>64</v>
      </c>
      <c r="C12">
        <v>14.625500000000001</v>
      </c>
      <c r="D12">
        <v>0.297707</v>
      </c>
      <c r="E12">
        <v>98254</v>
      </c>
      <c r="F12">
        <f t="shared" si="0"/>
        <v>8192</v>
      </c>
    </row>
    <row r="13" spans="1:18" x14ac:dyDescent="0.25">
      <c r="A13">
        <v>256</v>
      </c>
      <c r="B13">
        <v>64</v>
      </c>
      <c r="C13">
        <v>14.5946</v>
      </c>
      <c r="D13">
        <v>0.32202199999999997</v>
      </c>
      <c r="E13">
        <v>147143</v>
      </c>
      <c r="F13">
        <f t="shared" si="0"/>
        <v>16384</v>
      </c>
    </row>
    <row r="14" spans="1:18" x14ac:dyDescent="0.25">
      <c r="A14">
        <v>512</v>
      </c>
      <c r="B14">
        <v>64</v>
      </c>
      <c r="C14">
        <v>14.6007</v>
      </c>
      <c r="D14">
        <v>0.340638</v>
      </c>
      <c r="E14">
        <v>243773</v>
      </c>
      <c r="F14">
        <f t="shared" si="0"/>
        <v>32768</v>
      </c>
      <c r="J14" s="1" t="s">
        <v>6</v>
      </c>
      <c r="K14" s="2"/>
      <c r="L14" s="1"/>
      <c r="M14" s="4" t="s">
        <v>10</v>
      </c>
      <c r="N14" s="5"/>
      <c r="O14" s="5"/>
      <c r="P14" s="5"/>
      <c r="Q14" s="1"/>
      <c r="R14" s="1"/>
    </row>
    <row r="15" spans="1:18" x14ac:dyDescent="0.25">
      <c r="A15">
        <v>1024</v>
      </c>
      <c r="B15">
        <v>64</v>
      </c>
      <c r="C15">
        <v>14.5572</v>
      </c>
      <c r="D15">
        <v>0.34606700000000001</v>
      </c>
      <c r="E15">
        <v>444549</v>
      </c>
      <c r="F15">
        <f t="shared" si="0"/>
        <v>65536</v>
      </c>
      <c r="J15" s="2">
        <v>1024</v>
      </c>
      <c r="K15">
        <v>0.244142</v>
      </c>
      <c r="L15">
        <v>0.50499899999999998</v>
      </c>
      <c r="M15">
        <v>0.74330600000000002</v>
      </c>
      <c r="N15">
        <v>0.856267</v>
      </c>
      <c r="O15">
        <v>0.93860699999999997</v>
      </c>
      <c r="P15">
        <v>0.98555899999999996</v>
      </c>
      <c r="Q15" s="6" t="s">
        <v>9</v>
      </c>
      <c r="R15" s="3"/>
    </row>
    <row r="16" spans="1:18" x14ac:dyDescent="0.25">
      <c r="A16">
        <v>16</v>
      </c>
      <c r="B16">
        <v>128</v>
      </c>
      <c r="C16">
        <v>12.4023</v>
      </c>
      <c r="D16">
        <v>0.21256900000000001</v>
      </c>
      <c r="E16">
        <v>62917</v>
      </c>
      <c r="F16">
        <f t="shared" si="0"/>
        <v>2048</v>
      </c>
      <c r="J16" s="1">
        <v>512</v>
      </c>
      <c r="K16">
        <v>0.27349899999999999</v>
      </c>
      <c r="L16">
        <v>0.52615500000000004</v>
      </c>
      <c r="M16">
        <v>0.73807500000000004</v>
      </c>
      <c r="N16">
        <v>0.84114100000000003</v>
      </c>
      <c r="O16">
        <v>0.933369</v>
      </c>
      <c r="P16">
        <v>0.98529100000000003</v>
      </c>
      <c r="Q16" s="6" t="s">
        <v>9</v>
      </c>
      <c r="R16" s="3"/>
    </row>
    <row r="17" spans="1:18" x14ac:dyDescent="0.25">
      <c r="A17">
        <v>32</v>
      </c>
      <c r="B17">
        <v>128</v>
      </c>
      <c r="C17">
        <v>14.3643</v>
      </c>
      <c r="D17">
        <v>0.33227699999999999</v>
      </c>
      <c r="E17">
        <v>74573</v>
      </c>
      <c r="F17">
        <f t="shared" si="0"/>
        <v>4096</v>
      </c>
      <c r="J17" s="1">
        <v>256</v>
      </c>
      <c r="K17">
        <v>0.265177</v>
      </c>
      <c r="L17">
        <v>0.51005800000000001</v>
      </c>
      <c r="M17">
        <v>0.66567600000000005</v>
      </c>
      <c r="N17">
        <v>0.74936499999999995</v>
      </c>
      <c r="O17">
        <v>0.80121100000000001</v>
      </c>
      <c r="P17">
        <v>0.802898</v>
      </c>
      <c r="Q17">
        <v>0.790883</v>
      </c>
      <c r="R17" s="3"/>
    </row>
    <row r="18" spans="1:18" x14ac:dyDescent="0.25">
      <c r="A18">
        <v>64</v>
      </c>
      <c r="B18">
        <v>128</v>
      </c>
      <c r="C18">
        <v>15.5375</v>
      </c>
      <c r="D18">
        <v>0.42757000000000001</v>
      </c>
      <c r="E18">
        <v>98994</v>
      </c>
      <c r="F18">
        <f t="shared" si="0"/>
        <v>8192</v>
      </c>
      <c r="J18" s="1">
        <v>128</v>
      </c>
      <c r="K18">
        <v>0.21256900000000001</v>
      </c>
      <c r="L18">
        <v>0.33227699999999999</v>
      </c>
      <c r="M18">
        <v>0.42757000000000001</v>
      </c>
      <c r="N18">
        <v>0.49808200000000002</v>
      </c>
      <c r="O18">
        <v>0.52777600000000002</v>
      </c>
      <c r="P18">
        <v>0.52098900000000004</v>
      </c>
      <c r="Q18">
        <v>0.53923200000000004</v>
      </c>
      <c r="R18" s="3"/>
    </row>
    <row r="19" spans="1:18" x14ac:dyDescent="0.25">
      <c r="A19">
        <v>128</v>
      </c>
      <c r="B19">
        <v>128</v>
      </c>
      <c r="C19">
        <v>16.053100000000001</v>
      </c>
      <c r="D19">
        <v>0.49808200000000002</v>
      </c>
      <c r="E19">
        <v>147702</v>
      </c>
      <c r="F19">
        <f t="shared" si="0"/>
        <v>16384</v>
      </c>
      <c r="J19" s="1">
        <v>64</v>
      </c>
      <c r="K19">
        <v>0.122947</v>
      </c>
      <c r="L19">
        <v>0.19565299999999999</v>
      </c>
      <c r="M19">
        <v>0.25892100000000001</v>
      </c>
      <c r="N19">
        <v>0.297707</v>
      </c>
      <c r="O19">
        <v>0.32202199999999997</v>
      </c>
      <c r="P19">
        <v>0.340638</v>
      </c>
      <c r="Q19">
        <v>0.34606700000000001</v>
      </c>
      <c r="R19" s="3"/>
    </row>
    <row r="20" spans="1:18" x14ac:dyDescent="0.25">
      <c r="A20">
        <v>256</v>
      </c>
      <c r="B20">
        <v>128</v>
      </c>
      <c r="C20">
        <v>16.1174</v>
      </c>
      <c r="D20">
        <v>0.52777600000000002</v>
      </c>
      <c r="E20">
        <v>244744</v>
      </c>
      <c r="F20">
        <f t="shared" si="0"/>
        <v>32768</v>
      </c>
      <c r="J20" s="1">
        <v>32</v>
      </c>
      <c r="K20">
        <v>6.2406499999999997E-2</v>
      </c>
      <c r="L20">
        <v>0.108056</v>
      </c>
      <c r="M20">
        <v>0.12955800000000001</v>
      </c>
      <c r="N20">
        <v>0.149037</v>
      </c>
      <c r="O20">
        <v>0.161575</v>
      </c>
      <c r="P20">
        <v>0.16766500000000001</v>
      </c>
      <c r="Q20">
        <v>0.16892599999999999</v>
      </c>
      <c r="R20" s="2"/>
    </row>
    <row r="21" spans="1:18" x14ac:dyDescent="0.25">
      <c r="A21">
        <v>512</v>
      </c>
      <c r="B21">
        <v>128</v>
      </c>
      <c r="C21">
        <v>16.442</v>
      </c>
      <c r="D21">
        <v>0.52098900000000004</v>
      </c>
      <c r="E21">
        <v>444920</v>
      </c>
      <c r="F21">
        <f t="shared" si="0"/>
        <v>65536</v>
      </c>
      <c r="J21" s="1"/>
      <c r="K21" s="1">
        <v>16</v>
      </c>
      <c r="L21" s="1">
        <v>32</v>
      </c>
      <c r="M21" s="1">
        <v>64</v>
      </c>
      <c r="N21" s="1">
        <v>128</v>
      </c>
      <c r="O21" s="1">
        <v>256</v>
      </c>
      <c r="P21" s="1">
        <v>512</v>
      </c>
      <c r="Q21" s="1">
        <v>1024</v>
      </c>
      <c r="R21" s="1" t="s">
        <v>8</v>
      </c>
    </row>
    <row r="22" spans="1:18" x14ac:dyDescent="0.25">
      <c r="A22">
        <v>1024</v>
      </c>
      <c r="B22">
        <v>128</v>
      </c>
      <c r="C22">
        <v>16.445799999999998</v>
      </c>
      <c r="D22">
        <v>0.53923200000000004</v>
      </c>
      <c r="E22">
        <v>831904</v>
      </c>
      <c r="F22">
        <f t="shared" si="0"/>
        <v>131072</v>
      </c>
    </row>
    <row r="23" spans="1:18" x14ac:dyDescent="0.25">
      <c r="A23">
        <v>16</v>
      </c>
      <c r="B23">
        <v>256</v>
      </c>
      <c r="C23">
        <v>10.37</v>
      </c>
      <c r="D23">
        <v>0.265177</v>
      </c>
      <c r="E23">
        <v>83591</v>
      </c>
      <c r="F23">
        <f t="shared" si="0"/>
        <v>4096</v>
      </c>
      <c r="J23" s="1" t="s">
        <v>6</v>
      </c>
      <c r="K23" s="2"/>
      <c r="L23" s="1"/>
      <c r="M23" s="4" t="s">
        <v>11</v>
      </c>
      <c r="N23" s="5"/>
      <c r="O23" s="5"/>
      <c r="P23" s="5"/>
      <c r="Q23" s="1"/>
      <c r="R23" s="1"/>
    </row>
    <row r="24" spans="1:18" x14ac:dyDescent="0.25">
      <c r="A24">
        <v>32</v>
      </c>
      <c r="B24">
        <v>256</v>
      </c>
      <c r="C24">
        <v>13.555300000000001</v>
      </c>
      <c r="D24">
        <v>0.51005800000000001</v>
      </c>
      <c r="E24">
        <v>102049</v>
      </c>
      <c r="F24">
        <f t="shared" si="0"/>
        <v>8192</v>
      </c>
      <c r="J24" s="2">
        <v>1024</v>
      </c>
      <c r="K24">
        <v>148548</v>
      </c>
      <c r="L24">
        <v>245836</v>
      </c>
      <c r="M24">
        <v>441543</v>
      </c>
      <c r="N24">
        <v>823393</v>
      </c>
      <c r="O24">
        <v>1605282</v>
      </c>
      <c r="P24">
        <v>3144737</v>
      </c>
      <c r="Q24" s="6" t="s">
        <v>9</v>
      </c>
      <c r="R24" s="3"/>
    </row>
    <row r="25" spans="1:18" x14ac:dyDescent="0.25">
      <c r="A25">
        <v>64</v>
      </c>
      <c r="B25">
        <v>256</v>
      </c>
      <c r="C25">
        <v>16.545400000000001</v>
      </c>
      <c r="D25">
        <v>0.66567600000000005</v>
      </c>
      <c r="E25">
        <v>148924</v>
      </c>
      <c r="F25">
        <f t="shared" si="0"/>
        <v>16384</v>
      </c>
      <c r="J25" s="1">
        <v>512</v>
      </c>
      <c r="K25">
        <v>99804</v>
      </c>
      <c r="L25">
        <v>147571</v>
      </c>
      <c r="M25">
        <v>245644</v>
      </c>
      <c r="N25">
        <v>438374</v>
      </c>
      <c r="O25">
        <v>823182</v>
      </c>
      <c r="P25">
        <v>1594902</v>
      </c>
      <c r="Q25" s="6" t="s">
        <v>9</v>
      </c>
      <c r="R25" s="3"/>
    </row>
    <row r="26" spans="1:18" x14ac:dyDescent="0.25">
      <c r="A26">
        <v>128</v>
      </c>
      <c r="B26">
        <v>256</v>
      </c>
      <c r="C26">
        <v>18.4407</v>
      </c>
      <c r="D26">
        <v>0.74936499999999995</v>
      </c>
      <c r="E26">
        <v>247088</v>
      </c>
      <c r="F26">
        <f t="shared" si="0"/>
        <v>32768</v>
      </c>
      <c r="J26" s="1">
        <v>256</v>
      </c>
      <c r="K26">
        <v>83591</v>
      </c>
      <c r="L26">
        <v>102049</v>
      </c>
      <c r="M26">
        <v>148924</v>
      </c>
      <c r="N26">
        <v>247088</v>
      </c>
      <c r="O26">
        <v>445648</v>
      </c>
      <c r="P26">
        <v>827206</v>
      </c>
      <c r="Q26">
        <v>1596162</v>
      </c>
      <c r="R26" s="3"/>
    </row>
    <row r="27" spans="1:18" x14ac:dyDescent="0.25">
      <c r="A27">
        <v>256</v>
      </c>
      <c r="B27">
        <v>256</v>
      </c>
      <c r="C27">
        <v>19.5076</v>
      </c>
      <c r="D27">
        <v>0.80121100000000001</v>
      </c>
      <c r="E27">
        <v>445648</v>
      </c>
      <c r="F27">
        <f t="shared" si="0"/>
        <v>65536</v>
      </c>
      <c r="J27" s="1">
        <v>128</v>
      </c>
      <c r="K27">
        <v>62917</v>
      </c>
      <c r="L27">
        <v>74573</v>
      </c>
      <c r="M27">
        <v>98994</v>
      </c>
      <c r="N27">
        <v>147702</v>
      </c>
      <c r="O27">
        <v>244744</v>
      </c>
      <c r="P27">
        <v>444920</v>
      </c>
      <c r="Q27">
        <v>831904</v>
      </c>
      <c r="R27" s="3"/>
    </row>
    <row r="28" spans="1:18" x14ac:dyDescent="0.25">
      <c r="A28">
        <v>512</v>
      </c>
      <c r="B28">
        <v>256</v>
      </c>
      <c r="C28">
        <v>19.750299999999999</v>
      </c>
      <c r="D28">
        <v>0.802898</v>
      </c>
      <c r="E28">
        <v>827206</v>
      </c>
      <c r="F28">
        <f t="shared" si="0"/>
        <v>131072</v>
      </c>
      <c r="J28" s="1">
        <v>64</v>
      </c>
      <c r="K28">
        <v>56017</v>
      </c>
      <c r="L28">
        <v>61403</v>
      </c>
      <c r="M28">
        <v>73198</v>
      </c>
      <c r="N28">
        <v>98254</v>
      </c>
      <c r="O28">
        <v>147143</v>
      </c>
      <c r="P28">
        <v>243773</v>
      </c>
      <c r="Q28">
        <v>444549</v>
      </c>
      <c r="R28" s="3"/>
    </row>
    <row r="29" spans="1:18" x14ac:dyDescent="0.25">
      <c r="A29">
        <v>1024</v>
      </c>
      <c r="B29">
        <v>256</v>
      </c>
      <c r="C29">
        <v>19.485099999999999</v>
      </c>
      <c r="D29">
        <v>0.790883</v>
      </c>
      <c r="E29">
        <v>1596162</v>
      </c>
      <c r="F29">
        <f t="shared" si="0"/>
        <v>262144</v>
      </c>
      <c r="J29" s="1">
        <v>32</v>
      </c>
      <c r="K29">
        <v>53576</v>
      </c>
      <c r="L29">
        <v>61314</v>
      </c>
      <c r="M29">
        <v>63128</v>
      </c>
      <c r="N29">
        <v>72229</v>
      </c>
      <c r="O29">
        <v>97485</v>
      </c>
      <c r="P29">
        <v>146156</v>
      </c>
      <c r="Q29">
        <v>249300</v>
      </c>
      <c r="R29" s="2"/>
    </row>
    <row r="30" spans="1:18" x14ac:dyDescent="0.25">
      <c r="A30">
        <v>16</v>
      </c>
      <c r="B30">
        <v>512</v>
      </c>
      <c r="C30">
        <v>10.3912</v>
      </c>
      <c r="D30">
        <v>0.27349899999999999</v>
      </c>
      <c r="E30">
        <v>99804</v>
      </c>
      <c r="F30">
        <f t="shared" si="0"/>
        <v>8192</v>
      </c>
      <c r="J30" s="1"/>
      <c r="K30" s="1">
        <v>16</v>
      </c>
      <c r="L30" s="1">
        <v>32</v>
      </c>
      <c r="M30" s="1">
        <v>64</v>
      </c>
      <c r="N30" s="1">
        <v>128</v>
      </c>
      <c r="O30" s="1">
        <v>256</v>
      </c>
      <c r="P30" s="1">
        <v>512</v>
      </c>
      <c r="Q30" s="1">
        <v>1024</v>
      </c>
      <c r="R30" s="1" t="s">
        <v>8</v>
      </c>
    </row>
    <row r="31" spans="1:18" x14ac:dyDescent="0.25">
      <c r="A31">
        <v>32</v>
      </c>
      <c r="B31">
        <v>512</v>
      </c>
      <c r="C31">
        <v>13.368399999999999</v>
      </c>
      <c r="D31">
        <v>0.52615500000000004</v>
      </c>
      <c r="E31">
        <v>147571</v>
      </c>
      <c r="F31">
        <f t="shared" si="0"/>
        <v>16384</v>
      </c>
    </row>
    <row r="32" spans="1:18" x14ac:dyDescent="0.25">
      <c r="A32">
        <v>64</v>
      </c>
      <c r="B32">
        <v>512</v>
      </c>
      <c r="C32">
        <v>18.1889</v>
      </c>
      <c r="D32">
        <v>0.73807500000000004</v>
      </c>
      <c r="E32">
        <v>245644</v>
      </c>
      <c r="F32">
        <f t="shared" si="0"/>
        <v>32768</v>
      </c>
    </row>
    <row r="33" spans="1:15" x14ac:dyDescent="0.25">
      <c r="A33">
        <v>128</v>
      </c>
      <c r="B33">
        <v>512</v>
      </c>
      <c r="C33">
        <v>20.692499999999999</v>
      </c>
      <c r="D33">
        <v>0.84114100000000003</v>
      </c>
      <c r="E33">
        <v>438374</v>
      </c>
      <c r="F33">
        <f t="shared" si="0"/>
        <v>65536</v>
      </c>
    </row>
    <row r="34" spans="1:15" x14ac:dyDescent="0.25">
      <c r="A34">
        <v>256</v>
      </c>
      <c r="B34">
        <v>512</v>
      </c>
      <c r="C34">
        <v>22.409600000000001</v>
      </c>
      <c r="D34">
        <v>0.933369</v>
      </c>
      <c r="E34">
        <v>823182</v>
      </c>
      <c r="F34">
        <f t="shared" si="0"/>
        <v>131072</v>
      </c>
    </row>
    <row r="35" spans="1:15" x14ac:dyDescent="0.25">
      <c r="A35">
        <v>512</v>
      </c>
      <c r="B35">
        <v>512</v>
      </c>
      <c r="C35">
        <v>28.900400000000001</v>
      </c>
      <c r="D35">
        <v>0.98529100000000003</v>
      </c>
      <c r="E35">
        <v>1594902</v>
      </c>
      <c r="F35">
        <f t="shared" si="0"/>
        <v>262144</v>
      </c>
    </row>
    <row r="36" spans="1:15" x14ac:dyDescent="0.25">
      <c r="A36">
        <v>1024</v>
      </c>
      <c r="B36">
        <v>512</v>
      </c>
      <c r="C36" t="s">
        <v>9</v>
      </c>
      <c r="D36" t="s">
        <v>9</v>
      </c>
      <c r="E36" t="s">
        <v>9</v>
      </c>
      <c r="F36">
        <f t="shared" si="0"/>
        <v>524288</v>
      </c>
    </row>
    <row r="37" spans="1:15" x14ac:dyDescent="0.25">
      <c r="A37">
        <v>16</v>
      </c>
      <c r="B37">
        <v>1024</v>
      </c>
      <c r="C37">
        <v>9.6947500000000009</v>
      </c>
      <c r="D37">
        <v>0.244142</v>
      </c>
      <c r="E37">
        <v>148548</v>
      </c>
      <c r="F37">
        <f t="shared" si="0"/>
        <v>16384</v>
      </c>
    </row>
    <row r="38" spans="1:15" x14ac:dyDescent="0.25">
      <c r="A38">
        <v>32</v>
      </c>
      <c r="B38">
        <v>1024</v>
      </c>
      <c r="C38">
        <v>12.2234</v>
      </c>
      <c r="D38">
        <v>0.50499899999999998</v>
      </c>
      <c r="E38">
        <v>245836</v>
      </c>
      <c r="F38">
        <f t="shared" si="0"/>
        <v>32768</v>
      </c>
    </row>
    <row r="39" spans="1:15" x14ac:dyDescent="0.25">
      <c r="A39">
        <v>64</v>
      </c>
      <c r="B39">
        <v>1024</v>
      </c>
      <c r="C39">
        <v>17.051400000000001</v>
      </c>
      <c r="D39">
        <v>0.74330600000000002</v>
      </c>
      <c r="E39">
        <v>441543</v>
      </c>
      <c r="F39">
        <f t="shared" si="0"/>
        <v>65536</v>
      </c>
    </row>
    <row r="40" spans="1:15" x14ac:dyDescent="0.25">
      <c r="A40">
        <v>128</v>
      </c>
      <c r="B40">
        <v>1024</v>
      </c>
      <c r="C40">
        <v>20.290199999999999</v>
      </c>
      <c r="D40">
        <v>0.856267</v>
      </c>
      <c r="E40">
        <v>823393</v>
      </c>
      <c r="F40">
        <f t="shared" si="0"/>
        <v>131072</v>
      </c>
    </row>
    <row r="41" spans="1:15" x14ac:dyDescent="0.25">
      <c r="A41">
        <v>256</v>
      </c>
      <c r="B41">
        <v>1024</v>
      </c>
      <c r="C41">
        <v>23.307099999999998</v>
      </c>
      <c r="D41">
        <v>0.93860699999999997</v>
      </c>
      <c r="E41">
        <v>1605282</v>
      </c>
      <c r="F41">
        <f t="shared" si="0"/>
        <v>262144</v>
      </c>
    </row>
    <row r="42" spans="1:15" x14ac:dyDescent="0.25">
      <c r="A42">
        <v>512</v>
      </c>
      <c r="B42">
        <v>1024</v>
      </c>
      <c r="C42">
        <v>29.302299999999999</v>
      </c>
      <c r="D42">
        <v>0.98555899999999996</v>
      </c>
      <c r="E42">
        <v>3144737</v>
      </c>
      <c r="F42">
        <f t="shared" si="0"/>
        <v>524288</v>
      </c>
    </row>
    <row r="43" spans="1:15" x14ac:dyDescent="0.25">
      <c r="A43">
        <v>1024</v>
      </c>
      <c r="B43">
        <v>1024</v>
      </c>
      <c r="C43" t="s">
        <v>9</v>
      </c>
      <c r="D43" t="s">
        <v>9</v>
      </c>
      <c r="E43" t="s">
        <v>9</v>
      </c>
      <c r="F43">
        <f t="shared" si="0"/>
        <v>1048576</v>
      </c>
      <c r="J43" t="s">
        <v>0</v>
      </c>
      <c r="K43" t="s">
        <v>1</v>
      </c>
      <c r="L43" t="s">
        <v>2</v>
      </c>
      <c r="M43" t="s">
        <v>3</v>
      </c>
      <c r="N43" t="s">
        <v>4</v>
      </c>
      <c r="O43" t="s">
        <v>5</v>
      </c>
    </row>
    <row r="44" spans="1:15" x14ac:dyDescent="0.25">
      <c r="J44">
        <v>16</v>
      </c>
      <c r="K44">
        <v>32</v>
      </c>
      <c r="L44">
        <v>13.331300000000001</v>
      </c>
      <c r="M44">
        <v>6.2406499999999997E-2</v>
      </c>
      <c r="N44">
        <v>53576</v>
      </c>
      <c r="O44">
        <f>J44*K44</f>
        <v>512</v>
      </c>
    </row>
    <row r="45" spans="1:15" x14ac:dyDescent="0.25">
      <c r="J45">
        <v>16</v>
      </c>
      <c r="K45">
        <v>64</v>
      </c>
      <c r="L45">
        <v>13.5732</v>
      </c>
      <c r="M45">
        <v>0.122947</v>
      </c>
      <c r="N45">
        <v>56017</v>
      </c>
      <c r="O45">
        <f>J45*K45</f>
        <v>1024</v>
      </c>
    </row>
    <row r="46" spans="1:15" x14ac:dyDescent="0.25">
      <c r="J46">
        <v>16</v>
      </c>
      <c r="K46">
        <v>128</v>
      </c>
      <c r="L46">
        <v>12.4023</v>
      </c>
      <c r="M46">
        <v>0.21256900000000001</v>
      </c>
      <c r="N46">
        <v>62917</v>
      </c>
      <c r="O46">
        <f>J46*K46</f>
        <v>2048</v>
      </c>
    </row>
    <row r="47" spans="1:15" x14ac:dyDescent="0.25">
      <c r="J47">
        <v>16</v>
      </c>
      <c r="K47">
        <v>256</v>
      </c>
      <c r="L47">
        <v>10.37</v>
      </c>
      <c r="M47">
        <v>0.265177</v>
      </c>
      <c r="N47">
        <v>83591</v>
      </c>
      <c r="O47">
        <f>J47*K47</f>
        <v>4096</v>
      </c>
    </row>
    <row r="48" spans="1:15" x14ac:dyDescent="0.25">
      <c r="J48">
        <v>16</v>
      </c>
      <c r="K48">
        <v>512</v>
      </c>
      <c r="L48">
        <v>10.3912</v>
      </c>
      <c r="M48">
        <v>0.27349899999999999</v>
      </c>
      <c r="N48">
        <v>99804</v>
      </c>
      <c r="O48">
        <f>J48*K48</f>
        <v>8192</v>
      </c>
    </row>
    <row r="49" spans="10:15" x14ac:dyDescent="0.25">
      <c r="J49">
        <v>16</v>
      </c>
      <c r="K49">
        <v>1024</v>
      </c>
      <c r="L49">
        <v>9.6947500000000009</v>
      </c>
      <c r="M49">
        <v>0.244142</v>
      </c>
      <c r="N49">
        <v>148548</v>
      </c>
      <c r="O49">
        <f>J49*K49</f>
        <v>16384</v>
      </c>
    </row>
    <row r="50" spans="10:15" x14ac:dyDescent="0.25">
      <c r="J50">
        <v>32</v>
      </c>
      <c r="K50">
        <v>32</v>
      </c>
      <c r="L50">
        <v>13.533300000000001</v>
      </c>
      <c r="M50">
        <v>0.108056</v>
      </c>
      <c r="N50">
        <v>61314</v>
      </c>
      <c r="O50">
        <f>J50*K50</f>
        <v>1024</v>
      </c>
    </row>
    <row r="51" spans="10:15" x14ac:dyDescent="0.25">
      <c r="J51">
        <v>32</v>
      </c>
      <c r="K51">
        <v>64</v>
      </c>
      <c r="L51">
        <v>14.209</v>
      </c>
      <c r="M51">
        <v>0.19565299999999999</v>
      </c>
      <c r="N51">
        <v>61403</v>
      </c>
      <c r="O51">
        <f>J51*K51</f>
        <v>2048</v>
      </c>
    </row>
    <row r="52" spans="10:15" x14ac:dyDescent="0.25">
      <c r="J52">
        <v>32</v>
      </c>
      <c r="K52">
        <v>128</v>
      </c>
      <c r="L52">
        <v>14.3643</v>
      </c>
      <c r="M52">
        <v>0.33227699999999999</v>
      </c>
      <c r="N52">
        <v>74573</v>
      </c>
      <c r="O52">
        <f>J52*K52</f>
        <v>4096</v>
      </c>
    </row>
    <row r="53" spans="10:15" x14ac:dyDescent="0.25">
      <c r="J53">
        <v>32</v>
      </c>
      <c r="K53">
        <v>256</v>
      </c>
      <c r="L53">
        <v>13.555300000000001</v>
      </c>
      <c r="M53">
        <v>0.51005800000000001</v>
      </c>
      <c r="N53">
        <v>102049</v>
      </c>
      <c r="O53">
        <f>J53*K53</f>
        <v>8192</v>
      </c>
    </row>
    <row r="54" spans="10:15" x14ac:dyDescent="0.25">
      <c r="J54">
        <v>32</v>
      </c>
      <c r="K54">
        <v>512</v>
      </c>
      <c r="L54">
        <v>13.368399999999999</v>
      </c>
      <c r="M54">
        <v>0.52615500000000004</v>
      </c>
      <c r="N54">
        <v>147571</v>
      </c>
      <c r="O54">
        <f>J54*K54</f>
        <v>16384</v>
      </c>
    </row>
    <row r="55" spans="10:15" x14ac:dyDescent="0.25">
      <c r="J55">
        <v>32</v>
      </c>
      <c r="K55">
        <v>1024</v>
      </c>
      <c r="L55">
        <v>12.2234</v>
      </c>
      <c r="M55">
        <v>0.50499899999999998</v>
      </c>
      <c r="N55">
        <v>245836</v>
      </c>
      <c r="O55">
        <f>J55*K55</f>
        <v>32768</v>
      </c>
    </row>
    <row r="56" spans="10:15" x14ac:dyDescent="0.25">
      <c r="J56">
        <v>64</v>
      </c>
      <c r="K56">
        <v>32</v>
      </c>
      <c r="L56">
        <v>13.7081</v>
      </c>
      <c r="M56">
        <v>0.12955800000000001</v>
      </c>
      <c r="N56">
        <v>63128</v>
      </c>
      <c r="O56">
        <f>J56*K56</f>
        <v>2048</v>
      </c>
    </row>
    <row r="57" spans="10:15" x14ac:dyDescent="0.25">
      <c r="J57">
        <v>64</v>
      </c>
      <c r="K57">
        <v>64</v>
      </c>
      <c r="L57">
        <v>14.396699999999999</v>
      </c>
      <c r="M57">
        <v>0.25892100000000001</v>
      </c>
      <c r="N57">
        <v>73198</v>
      </c>
      <c r="O57">
        <f>J57*K57</f>
        <v>4096</v>
      </c>
    </row>
    <row r="58" spans="10:15" x14ac:dyDescent="0.25">
      <c r="J58">
        <v>64</v>
      </c>
      <c r="K58">
        <v>128</v>
      </c>
      <c r="L58">
        <v>15.5375</v>
      </c>
      <c r="M58">
        <v>0.42757000000000001</v>
      </c>
      <c r="N58">
        <v>98994</v>
      </c>
      <c r="O58">
        <f>J58*K58</f>
        <v>8192</v>
      </c>
    </row>
    <row r="59" spans="10:15" x14ac:dyDescent="0.25">
      <c r="J59">
        <v>64</v>
      </c>
      <c r="K59">
        <v>256</v>
      </c>
      <c r="L59">
        <v>16.545400000000001</v>
      </c>
      <c r="M59">
        <v>0.66567600000000005</v>
      </c>
      <c r="N59">
        <v>148924</v>
      </c>
      <c r="O59">
        <f>J59*K59</f>
        <v>16384</v>
      </c>
    </row>
    <row r="60" spans="10:15" x14ac:dyDescent="0.25">
      <c r="J60">
        <v>64</v>
      </c>
      <c r="K60">
        <v>512</v>
      </c>
      <c r="L60">
        <v>18.1889</v>
      </c>
      <c r="M60">
        <v>0.73807500000000004</v>
      </c>
      <c r="N60">
        <v>245644</v>
      </c>
      <c r="O60">
        <f>J60*K60</f>
        <v>32768</v>
      </c>
    </row>
    <row r="61" spans="10:15" x14ac:dyDescent="0.25">
      <c r="J61">
        <v>64</v>
      </c>
      <c r="K61">
        <v>1024</v>
      </c>
      <c r="L61">
        <v>17.051400000000001</v>
      </c>
      <c r="M61">
        <v>0.74330600000000002</v>
      </c>
      <c r="N61">
        <v>441543</v>
      </c>
      <c r="O61">
        <f>J61*K61</f>
        <v>65536</v>
      </c>
    </row>
    <row r="62" spans="10:15" x14ac:dyDescent="0.25">
      <c r="J62">
        <v>128</v>
      </c>
      <c r="K62">
        <v>32</v>
      </c>
      <c r="L62">
        <v>13.785399999999999</v>
      </c>
      <c r="M62">
        <v>0.149037</v>
      </c>
      <c r="N62">
        <v>72229</v>
      </c>
      <c r="O62">
        <f>J62*K62</f>
        <v>4096</v>
      </c>
    </row>
    <row r="63" spans="10:15" x14ac:dyDescent="0.25">
      <c r="J63">
        <v>128</v>
      </c>
      <c r="K63">
        <v>64</v>
      </c>
      <c r="L63">
        <v>14.625500000000001</v>
      </c>
      <c r="M63">
        <v>0.297707</v>
      </c>
      <c r="N63">
        <v>98254</v>
      </c>
      <c r="O63">
        <f>J63*K63</f>
        <v>8192</v>
      </c>
    </row>
    <row r="64" spans="10:15" x14ac:dyDescent="0.25">
      <c r="J64">
        <v>128</v>
      </c>
      <c r="K64">
        <v>128</v>
      </c>
      <c r="L64">
        <v>16.053100000000001</v>
      </c>
      <c r="M64">
        <v>0.49808200000000002</v>
      </c>
      <c r="N64">
        <v>147702</v>
      </c>
      <c r="O64">
        <f>J64*K64</f>
        <v>16384</v>
      </c>
    </row>
    <row r="65" spans="10:15" x14ac:dyDescent="0.25">
      <c r="J65">
        <v>128</v>
      </c>
      <c r="K65">
        <v>256</v>
      </c>
      <c r="L65">
        <v>18.4407</v>
      </c>
      <c r="M65">
        <v>0.74936499999999995</v>
      </c>
      <c r="N65">
        <v>247088</v>
      </c>
      <c r="O65">
        <f>J65*K65</f>
        <v>32768</v>
      </c>
    </row>
    <row r="66" spans="10:15" x14ac:dyDescent="0.25">
      <c r="J66">
        <v>128</v>
      </c>
      <c r="K66">
        <v>512</v>
      </c>
      <c r="L66">
        <v>20.692499999999999</v>
      </c>
      <c r="M66">
        <v>0.84114100000000003</v>
      </c>
      <c r="N66">
        <v>438374</v>
      </c>
      <c r="O66">
        <f>J66*K66</f>
        <v>65536</v>
      </c>
    </row>
    <row r="67" spans="10:15" x14ac:dyDescent="0.25">
      <c r="J67">
        <v>128</v>
      </c>
      <c r="K67">
        <v>1024</v>
      </c>
      <c r="L67">
        <v>20.290199999999999</v>
      </c>
      <c r="M67">
        <v>0.856267</v>
      </c>
      <c r="N67">
        <v>823393</v>
      </c>
      <c r="O67">
        <f>J67*K67</f>
        <v>131072</v>
      </c>
    </row>
    <row r="68" spans="10:15" x14ac:dyDescent="0.25">
      <c r="J68">
        <v>256</v>
      </c>
      <c r="K68">
        <v>32</v>
      </c>
      <c r="L68">
        <v>13.915100000000001</v>
      </c>
      <c r="M68">
        <v>0.161575</v>
      </c>
      <c r="N68">
        <v>97485</v>
      </c>
      <c r="O68">
        <f>J68*K68</f>
        <v>8192</v>
      </c>
    </row>
    <row r="69" spans="10:15" x14ac:dyDescent="0.25">
      <c r="J69">
        <v>256</v>
      </c>
      <c r="K69">
        <v>64</v>
      </c>
      <c r="L69">
        <v>14.5946</v>
      </c>
      <c r="M69">
        <v>0.32202199999999997</v>
      </c>
      <c r="N69">
        <v>147143</v>
      </c>
      <c r="O69">
        <f>J69*K69</f>
        <v>16384</v>
      </c>
    </row>
    <row r="70" spans="10:15" x14ac:dyDescent="0.25">
      <c r="J70">
        <v>256</v>
      </c>
      <c r="K70">
        <v>128</v>
      </c>
      <c r="L70">
        <v>16.1174</v>
      </c>
      <c r="M70">
        <v>0.52777600000000002</v>
      </c>
      <c r="N70">
        <v>244744</v>
      </c>
      <c r="O70">
        <f>J70*K70</f>
        <v>32768</v>
      </c>
    </row>
    <row r="71" spans="10:15" x14ac:dyDescent="0.25">
      <c r="J71">
        <v>256</v>
      </c>
      <c r="K71">
        <v>256</v>
      </c>
      <c r="L71">
        <v>19.5076</v>
      </c>
      <c r="M71">
        <v>0.80121100000000001</v>
      </c>
      <c r="N71">
        <v>445648</v>
      </c>
      <c r="O71">
        <f>J71*K71</f>
        <v>65536</v>
      </c>
    </row>
    <row r="72" spans="10:15" x14ac:dyDescent="0.25">
      <c r="J72">
        <v>256</v>
      </c>
      <c r="K72">
        <v>512</v>
      </c>
      <c r="L72">
        <v>22.409600000000001</v>
      </c>
      <c r="M72">
        <v>0.933369</v>
      </c>
      <c r="N72">
        <v>823182</v>
      </c>
      <c r="O72">
        <f>J72*K72</f>
        <v>131072</v>
      </c>
    </row>
    <row r="73" spans="10:15" x14ac:dyDescent="0.25">
      <c r="J73">
        <v>256</v>
      </c>
      <c r="K73">
        <v>1024</v>
      </c>
      <c r="L73">
        <v>23.307099999999998</v>
      </c>
      <c r="M73">
        <v>0.93860699999999997</v>
      </c>
      <c r="N73">
        <v>1605282</v>
      </c>
      <c r="O73">
        <f>J73*K73</f>
        <v>262144</v>
      </c>
    </row>
    <row r="74" spans="10:15" x14ac:dyDescent="0.25">
      <c r="J74">
        <v>512</v>
      </c>
      <c r="K74">
        <v>32</v>
      </c>
      <c r="L74">
        <v>13.9077</v>
      </c>
      <c r="M74">
        <v>0.16766500000000001</v>
      </c>
      <c r="N74">
        <v>146156</v>
      </c>
      <c r="O74">
        <f>J74*K74</f>
        <v>16384</v>
      </c>
    </row>
    <row r="75" spans="10:15" x14ac:dyDescent="0.25">
      <c r="J75">
        <v>512</v>
      </c>
      <c r="K75">
        <v>64</v>
      </c>
      <c r="L75">
        <v>14.6007</v>
      </c>
      <c r="M75">
        <v>0.340638</v>
      </c>
      <c r="N75">
        <v>243773</v>
      </c>
      <c r="O75">
        <f>J75*K75</f>
        <v>32768</v>
      </c>
    </row>
    <row r="76" spans="10:15" x14ac:dyDescent="0.25">
      <c r="J76">
        <v>512</v>
      </c>
      <c r="K76">
        <v>128</v>
      </c>
      <c r="L76">
        <v>16.442</v>
      </c>
      <c r="M76">
        <v>0.52098900000000004</v>
      </c>
      <c r="N76">
        <v>444920</v>
      </c>
      <c r="O76">
        <f>J76*K76</f>
        <v>65536</v>
      </c>
    </row>
    <row r="77" spans="10:15" x14ac:dyDescent="0.25">
      <c r="J77">
        <v>512</v>
      </c>
      <c r="K77">
        <v>256</v>
      </c>
      <c r="L77">
        <v>19.750299999999999</v>
      </c>
      <c r="M77">
        <v>0.802898</v>
      </c>
      <c r="N77">
        <v>827206</v>
      </c>
      <c r="O77">
        <f>J77*K77</f>
        <v>131072</v>
      </c>
    </row>
    <row r="78" spans="10:15" x14ac:dyDescent="0.25">
      <c r="J78">
        <v>512</v>
      </c>
      <c r="K78">
        <v>512</v>
      </c>
      <c r="L78">
        <v>28.900400000000001</v>
      </c>
      <c r="M78">
        <v>0.98529100000000003</v>
      </c>
      <c r="N78">
        <v>1594902</v>
      </c>
      <c r="O78">
        <f>J78*K78</f>
        <v>262144</v>
      </c>
    </row>
    <row r="79" spans="10:15" x14ac:dyDescent="0.25">
      <c r="J79">
        <v>512</v>
      </c>
      <c r="K79">
        <v>1024</v>
      </c>
      <c r="L79">
        <v>29.302299999999999</v>
      </c>
      <c r="M79">
        <v>0.98555899999999996</v>
      </c>
      <c r="N79">
        <v>3144737</v>
      </c>
      <c r="O79">
        <f>J79*K79</f>
        <v>524288</v>
      </c>
    </row>
    <row r="80" spans="10:15" x14ac:dyDescent="0.25">
      <c r="J80">
        <v>1024</v>
      </c>
      <c r="K80">
        <v>32</v>
      </c>
      <c r="L80">
        <v>13.8706</v>
      </c>
      <c r="M80">
        <v>0.16892599999999999</v>
      </c>
      <c r="N80">
        <v>249300</v>
      </c>
      <c r="O80">
        <f>J80*K80</f>
        <v>32768</v>
      </c>
    </row>
    <row r="81" spans="10:15" x14ac:dyDescent="0.25">
      <c r="J81">
        <v>1024</v>
      </c>
      <c r="K81">
        <v>64</v>
      </c>
      <c r="L81">
        <v>14.5572</v>
      </c>
      <c r="M81">
        <v>0.34606700000000001</v>
      </c>
      <c r="N81">
        <v>444549</v>
      </c>
      <c r="O81">
        <f>J81*K81</f>
        <v>65536</v>
      </c>
    </row>
    <row r="82" spans="10:15" x14ac:dyDescent="0.25">
      <c r="J82">
        <v>1024</v>
      </c>
      <c r="K82">
        <v>128</v>
      </c>
      <c r="L82">
        <v>16.445799999999998</v>
      </c>
      <c r="M82">
        <v>0.53923200000000004</v>
      </c>
      <c r="N82">
        <v>831904</v>
      </c>
      <c r="O82">
        <f>J82*K82</f>
        <v>131072</v>
      </c>
    </row>
    <row r="83" spans="10:15" x14ac:dyDescent="0.25">
      <c r="J83">
        <v>1024</v>
      </c>
      <c r="K83">
        <v>256</v>
      </c>
      <c r="L83">
        <v>19.485099999999999</v>
      </c>
      <c r="M83">
        <v>0.790883</v>
      </c>
      <c r="N83">
        <v>1596162</v>
      </c>
      <c r="O83">
        <f>J83*K83</f>
        <v>262144</v>
      </c>
    </row>
    <row r="84" spans="10:15" x14ac:dyDescent="0.25">
      <c r="J84">
        <v>1024</v>
      </c>
      <c r="K84">
        <v>512</v>
      </c>
      <c r="L84" t="s">
        <v>9</v>
      </c>
      <c r="M84" t="s">
        <v>9</v>
      </c>
      <c r="N84" t="s">
        <v>9</v>
      </c>
      <c r="O84">
        <f>J84*K84</f>
        <v>524288</v>
      </c>
    </row>
    <row r="85" spans="10:15" x14ac:dyDescent="0.25">
      <c r="J85">
        <v>1024</v>
      </c>
      <c r="K85">
        <v>1024</v>
      </c>
      <c r="L85" t="s">
        <v>9</v>
      </c>
      <c r="M85" t="s">
        <v>9</v>
      </c>
      <c r="N85" t="s">
        <v>9</v>
      </c>
      <c r="O85">
        <f>J85*K85</f>
        <v>1048576</v>
      </c>
    </row>
  </sheetData>
  <sortState xmlns:xlrd2="http://schemas.microsoft.com/office/spreadsheetml/2017/richdata2" ref="J44:O85">
    <sortCondition ref="J43:J85"/>
  </sortState>
  <mergeCells count="3">
    <mergeCell ref="M4:P4"/>
    <mergeCell ref="M14:P14"/>
    <mergeCell ref="M23:P23"/>
  </mergeCells>
  <conditionalFormatting sqref="K5:Q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5:Q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4:Q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Rodney</dc:creator>
  <cp:lastModifiedBy>James Rodney</cp:lastModifiedBy>
  <dcterms:created xsi:type="dcterms:W3CDTF">2026-08-03T23:53:45Z</dcterms:created>
  <dcterms:modified xsi:type="dcterms:W3CDTF">2026-08-04T16:56:31Z</dcterms:modified>
</cp:coreProperties>
</file>